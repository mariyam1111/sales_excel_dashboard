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7172" windowHeight="5484" activeTab="1"/>
  </bookViews>
  <sheets>
    <sheet name="Sheet4" sheetId="4" r:id="rId1"/>
    <sheet name="Sheet2" sheetId="2" r:id="rId2"/>
    <sheet name="Sheet3" sheetId="3" r:id="rId3"/>
    <sheet name="Sheet1" sheetId="1" r:id="rId4"/>
  </sheet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" i="1"/>
  <c r="H4" i="1"/>
  <c r="H5" i="1"/>
  <c r="H6" i="1"/>
  <c r="H7" i="1"/>
  <c r="H8" i="1"/>
  <c r="H9" i="1"/>
  <c r="H10" i="1"/>
  <c r="H11" i="1"/>
  <c r="H12" i="1"/>
  <c r="H2" i="1"/>
  <c r="J8" i="1"/>
  <c r="J2" i="1"/>
  <c r="J4" i="1"/>
</calcChain>
</file>

<file path=xl/sharedStrings.xml><?xml version="1.0" encoding="utf-8"?>
<sst xmlns="http://schemas.openxmlformats.org/spreadsheetml/2006/main" count="291" uniqueCount="45">
  <si>
    <t>Date</t>
  </si>
  <si>
    <t>Sales Person</t>
  </si>
  <si>
    <t>Region</t>
  </si>
  <si>
    <t>Product</t>
  </si>
  <si>
    <t>Units Sold</t>
  </si>
  <si>
    <t>Unit Price</t>
  </si>
  <si>
    <t>Cost of Goods</t>
  </si>
  <si>
    <t>Total Sales</t>
  </si>
  <si>
    <t>Andrew</t>
  </si>
  <si>
    <t>West</t>
  </si>
  <si>
    <t>Tent</t>
  </si>
  <si>
    <t>Rs. 6,000</t>
  </si>
  <si>
    <t>Rs. 4,000</t>
  </si>
  <si>
    <t>Grace</t>
  </si>
  <si>
    <t>East</t>
  </si>
  <si>
    <t>Blender</t>
  </si>
  <si>
    <t>Rs. 3,500</t>
  </si>
  <si>
    <t>Ella</t>
  </si>
  <si>
    <t>South</t>
  </si>
  <si>
    <t>Action Figure</t>
  </si>
  <si>
    <t>Rs. 1,200</t>
  </si>
  <si>
    <t>Cameron</t>
  </si>
  <si>
    <t>North</t>
  </si>
  <si>
    <t>Novel</t>
  </si>
  <si>
    <t>Rs. 1,000</t>
  </si>
  <si>
    <t>Megan</t>
  </si>
  <si>
    <t>Sneakers</t>
  </si>
  <si>
    <t>Carolyn</t>
  </si>
  <si>
    <t>Virginia</t>
  </si>
  <si>
    <t>Connor</t>
  </si>
  <si>
    <t>Anna</t>
  </si>
  <si>
    <t>Moisturizer</t>
  </si>
  <si>
    <t>Rs. 600</t>
  </si>
  <si>
    <t>Nicholas</t>
  </si>
  <si>
    <t>Smartphone</t>
  </si>
  <si>
    <t>Rs. 10,000</t>
  </si>
  <si>
    <t>GRANDTOTAL</t>
  </si>
  <si>
    <t>UNITSOLD</t>
  </si>
  <si>
    <t>TOTAL PROFIT</t>
  </si>
  <si>
    <t>profit</t>
  </si>
  <si>
    <t>AVERAGE SALES</t>
  </si>
  <si>
    <t>Row Labels</t>
  </si>
  <si>
    <t>Grand Total</t>
  </si>
  <si>
    <t>Sum of Total Sales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</si>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</sst>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8" formatCode="&quot;$&quot;#,##0.00"/>
    <numFmt numFmtId="169" formatCode="&quot;$&quot;.#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Aptos narrow"/>
    </font>
    <font>
      <sz val="11"/>
      <color theme="1"/>
      <name val="Aptos narrow"/>
    </font>
    <font>
      <b/>
      <sz val="11"/>
      <color theme="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C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thick">
        <color rgb="FFFFC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2" fontId="3" fillId="0" borderId="2" xfId="1" applyNumberFormat="1" applyFont="1" applyBorder="1" applyAlignment="1">
      <alignment horizontal="right" wrapText="1"/>
    </xf>
    <xf numFmtId="2" fontId="0" fillId="0" borderId="0" xfId="1" applyNumberFormat="1" applyFont="1"/>
    <xf numFmtId="2" fontId="0" fillId="0" borderId="0" xfId="0" applyNumberFormat="1"/>
    <xf numFmtId="168" fontId="2" fillId="2" borderId="1" xfId="0" applyNumberFormat="1" applyFont="1" applyFill="1" applyBorder="1" applyAlignment="1">
      <alignment horizontal="center" vertical="center" wrapText="1"/>
    </xf>
    <xf numFmtId="168" fontId="3" fillId="0" borderId="2" xfId="0" applyNumberFormat="1" applyFont="1" applyBorder="1" applyAlignment="1">
      <alignment horizontal="right" wrapText="1"/>
    </xf>
    <xf numFmtId="168" fontId="0" fillId="0" borderId="0" xfId="0" applyNumberFormat="1"/>
    <xf numFmtId="168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right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 wrapText="1"/>
    </xf>
    <xf numFmtId="0" fontId="2" fillId="2" borderId="4" xfId="0" applyFont="1" applyFill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2">
    <cellStyle name="Currency" xfId="1" builtinId="4"/>
    <cellStyle name="Normal" xfId="0" builtinId="0"/>
  </cellStyles>
  <dxfs count="17">
    <dxf>
      <numFmt numFmtId="19" formatCode="m/d/yyyy"/>
    </dxf>
    <dxf>
      <numFmt numFmtId="169" formatCode="&quot;$&quot;.###0.00"/>
    </dxf>
    <dxf>
      <numFmt numFmtId="169" formatCode="&quot;$&quot;.###0.00"/>
    </dxf>
    <dxf>
      <numFmt numFmtId="169" formatCode="&quot;$&quot;.###0.00"/>
    </dxf>
    <dxf>
      <numFmt numFmtId="169" formatCode="&quot;$&quot;.###0.00"/>
    </dxf>
    <dxf>
      <numFmt numFmtId="169" formatCode="&quot;$&quot;.#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&quot;$&quot;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m/d/yyyy"/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4627326704740879"/>
          <c:y val="0.25064296265467739"/>
          <c:w val="0.40654672913878509"/>
          <c:h val="0.68421814275749282"/>
        </c:manualLayout>
      </c:layout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"$".###0.00</c:formatCode>
                <c:ptCount val="4"/>
                <c:pt idx="0">
                  <c:v>3534400</c:v>
                </c:pt>
                <c:pt idx="1">
                  <c:v>2661400</c:v>
                </c:pt>
                <c:pt idx="2">
                  <c:v>2870600</c:v>
                </c:pt>
                <c:pt idx="3">
                  <c:v>3878100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0-48DD-A443-A86930B6F72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Sheet2!$A$30:$A$37</c:f>
              <c:strCache>
                <c:ptCount val="7"/>
                <c:pt idx="0">
                  <c:v>Action Figure</c:v>
                </c:pt>
                <c:pt idx="1">
                  <c:v>Blender</c:v>
                </c:pt>
                <c:pt idx="2">
                  <c:v>Moisturizer</c:v>
                </c:pt>
                <c:pt idx="3">
                  <c:v>Novel</c:v>
                </c:pt>
                <c:pt idx="4">
                  <c:v>Smartphone</c:v>
                </c:pt>
                <c:pt idx="5">
                  <c:v>Sneakers</c:v>
                </c:pt>
                <c:pt idx="6">
                  <c:v>Tent</c:v>
                </c:pt>
              </c:strCache>
            </c:strRef>
          </c:cat>
          <c:val>
            <c:numRef>
              <c:f>Sheet2!$B$30:$B$37</c:f>
              <c:numCache>
                <c:formatCode>"$".###0.00</c:formatCode>
                <c:ptCount val="7"/>
                <c:pt idx="0">
                  <c:v>547200</c:v>
                </c:pt>
                <c:pt idx="1">
                  <c:v>2222500</c:v>
                </c:pt>
                <c:pt idx="2">
                  <c:v>706800</c:v>
                </c:pt>
                <c:pt idx="3">
                  <c:v>898000</c:v>
                </c:pt>
                <c:pt idx="4">
                  <c:v>2350000</c:v>
                </c:pt>
                <c:pt idx="5">
                  <c:v>3196000</c:v>
                </c:pt>
                <c:pt idx="6">
                  <c:v>3024000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C-4A1F-8B07-CF00D3681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472384"/>
        <c:axId val="511477792"/>
      </c:barChart>
      <c:catAx>
        <c:axId val="5114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77792"/>
        <c:crosses val="autoZero"/>
        <c:auto val="1"/>
        <c:lblAlgn val="ctr"/>
        <c:lblOffset val="100"/>
        <c:noMultiLvlLbl val="0"/>
      </c:catAx>
      <c:valAx>
        <c:axId val="51147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.#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7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4874759405074365"/>
          <c:y val="0.24837525517643627"/>
          <c:w val="0.63826837270341208"/>
          <c:h val="0.44331620005832606"/>
        </c:manualLayout>
      </c:layout>
      <c:areaChart>
        <c:grouping val="standar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Sheet2!$A$14:$A$24</c:f>
              <c:strCache>
                <c:ptCount val="10"/>
                <c:pt idx="0">
                  <c:v>Andrew</c:v>
                </c:pt>
                <c:pt idx="1">
                  <c:v>Anna</c:v>
                </c:pt>
                <c:pt idx="2">
                  <c:v>Cameron</c:v>
                </c:pt>
                <c:pt idx="3">
                  <c:v>Carolyn</c:v>
                </c:pt>
                <c:pt idx="4">
                  <c:v>Connor</c:v>
                </c:pt>
                <c:pt idx="5">
                  <c:v>Ella</c:v>
                </c:pt>
                <c:pt idx="6">
                  <c:v>Grace</c:v>
                </c:pt>
                <c:pt idx="7">
                  <c:v>Megan</c:v>
                </c:pt>
                <c:pt idx="8">
                  <c:v>Nicholas</c:v>
                </c:pt>
                <c:pt idx="9">
                  <c:v>Virginia</c:v>
                </c:pt>
              </c:strCache>
            </c:strRef>
          </c:cat>
          <c:val>
            <c:numRef>
              <c:f>Sheet2!$B$14:$B$24</c:f>
              <c:numCache>
                <c:formatCode>"$".###0.00</c:formatCode>
                <c:ptCount val="10"/>
                <c:pt idx="0">
                  <c:v>1591600</c:v>
                </c:pt>
                <c:pt idx="1">
                  <c:v>677600</c:v>
                </c:pt>
                <c:pt idx="2">
                  <c:v>1957000</c:v>
                </c:pt>
                <c:pt idx="3">
                  <c:v>1661400</c:v>
                </c:pt>
                <c:pt idx="4">
                  <c:v>1741200</c:v>
                </c:pt>
                <c:pt idx="5">
                  <c:v>1110000</c:v>
                </c:pt>
                <c:pt idx="6">
                  <c:v>1777400</c:v>
                </c:pt>
                <c:pt idx="7">
                  <c:v>1065400</c:v>
                </c:pt>
                <c:pt idx="8">
                  <c:v>784400</c:v>
                </c:pt>
                <c:pt idx="9">
                  <c:v>578500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4-4FA9-83FE-FA12DFECF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06960"/>
        <c:axId val="208401136"/>
      </c:areaChart>
      <c:catAx>
        <c:axId val="20840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01136"/>
        <c:crosses val="autoZero"/>
        <c:auto val="1"/>
        <c:lblAlgn val="ctr"/>
        <c:lblOffset val="100"/>
        <c:noMultiLvlLbl val="0"/>
      </c:catAx>
      <c:valAx>
        <c:axId val="2084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.#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0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[Book1.xlsx]Sheet2!PivotTable4</c:name>
    <c:fmtId val="1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Sheet2!$A$43:$A$50</c:f>
              <c:strCache>
                <c:ptCount val="7"/>
                <c:pt idx="0">
                  <c:v>Action Figure</c:v>
                </c:pt>
                <c:pt idx="1">
                  <c:v>Blender</c:v>
                </c:pt>
                <c:pt idx="2">
                  <c:v>Moisturizer</c:v>
                </c:pt>
                <c:pt idx="3">
                  <c:v>Novel</c:v>
                </c:pt>
                <c:pt idx="4">
                  <c:v>Smartphone</c:v>
                </c:pt>
                <c:pt idx="5">
                  <c:v>Sneakers</c:v>
                </c:pt>
                <c:pt idx="6">
                  <c:v>Tent</c:v>
                </c:pt>
              </c:strCache>
            </c:strRef>
          </c:cat>
          <c:val>
            <c:numRef>
              <c:f>Sheet2!$B$43:$B$50</c:f>
              <c:numCache>
                <c:formatCode>"$".###0.00</c:formatCode>
                <c:ptCount val="7"/>
                <c:pt idx="0">
                  <c:v>456</c:v>
                </c:pt>
                <c:pt idx="1">
                  <c:v>635</c:v>
                </c:pt>
                <c:pt idx="2">
                  <c:v>1178</c:v>
                </c:pt>
                <c:pt idx="3">
                  <c:v>898</c:v>
                </c:pt>
                <c:pt idx="4">
                  <c:v>235</c:v>
                </c:pt>
                <c:pt idx="5">
                  <c:v>799</c:v>
                </c:pt>
                <c:pt idx="6">
                  <c:v>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5-442D-9FEE-7E94D3D1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479456"/>
        <c:axId val="511474464"/>
      </c:lineChart>
      <c:catAx>
        <c:axId val="51147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74464"/>
        <c:crosses val="autoZero"/>
        <c:auto val="1"/>
        <c:lblAlgn val="ctr"/>
        <c:lblOffset val="100"/>
        <c:noMultiLvlLbl val="0"/>
      </c:catAx>
      <c:valAx>
        <c:axId val="5114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.#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7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284327</xdr:colOff>
      <xdr:row>5</xdr:row>
      <xdr:rowOff>126636</xdr:rowOff>
    </xdr:from>
    <xdr:to>
      <xdr:col>9</xdr:col>
      <xdr:colOff>263770</xdr:colOff>
      <xdr:row>19</xdr:row>
      <xdr:rowOff>58615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294826</xdr:colOff>
      <xdr:row>20</xdr:row>
      <xdr:rowOff>4550</xdr:rowOff>
    </xdr:from>
    <xdr:to>
      <xdr:col>16</xdr:col>
      <xdr:colOff>567781</xdr:colOff>
      <xdr:row>34</xdr:row>
      <xdr:rowOff>147851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267267</xdr:colOff>
      <xdr:row>19</xdr:row>
      <xdr:rowOff>118281</xdr:rowOff>
    </xdr:from>
    <xdr:to>
      <xdr:col>9</xdr:col>
      <xdr:colOff>62551</xdr:colOff>
      <xdr:row>34</xdr:row>
      <xdr:rowOff>131929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333375</xdr:colOff>
      <xdr:row>5</xdr:row>
      <xdr:rowOff>161924</xdr:rowOff>
    </xdr:from>
    <xdr:to>
      <xdr:col>17</xdr:col>
      <xdr:colOff>100013</xdr:colOff>
      <xdr:row>19</xdr:row>
      <xdr:rowOff>38099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73.74155150463" createdVersion="6" refreshedVersion="6" minRefreshableVersion="3" recordCount="50">
  <cacheSource type="worksheet">
    <worksheetSource name="Table1"/>
  </cacheSource>
  <cacheFields count="10">
    <cacheField name="Date" numFmtId="14">
      <sharedItems containsSemiMixedTypes="0" containsNonDate="0" containsDate="1" containsString="0" minDate="2020-05-07T00:00:00" maxDate="2021-12-22T00:00:00"/>
    </cacheField>
    <cacheField name="Sales Person" numFmtId="0">
      <sharedItems count="10">
        <s v="Andrew"/>
        <s v="Grace"/>
        <s v="Ella"/>
        <s v="Cameron"/>
        <s v="Megan"/>
        <s v="Carolyn"/>
        <s v="Virginia"/>
        <s v="Connor"/>
        <s v="Anna"/>
        <s v="Nicholas"/>
      </sharedItems>
    </cacheField>
    <cacheField name="Region" numFmtId="0">
      <sharedItems count="4">
        <s v="West"/>
        <s v="East"/>
        <s v="South"/>
        <s v="North"/>
      </sharedItems>
    </cacheField>
    <cacheField name="Product" numFmtId="0">
      <sharedItems count="7">
        <s v="Tent"/>
        <s v="Blender"/>
        <s v="Action Figure"/>
        <s v="Novel"/>
        <s v="Sneakers"/>
        <s v="Moisturizer"/>
        <s v="Smartphone"/>
      </sharedItems>
    </cacheField>
    <cacheField name="Units Sold" numFmtId="0">
      <sharedItems containsSemiMixedTypes="0" containsString="0" containsNumber="1" containsInteger="1" minValue="51" maxValue="149" count="40">
        <n v="84"/>
        <n v="128"/>
        <n v="136"/>
        <n v="91"/>
        <n v="110"/>
        <n v="51"/>
        <n v="78"/>
        <n v="146"/>
        <n v="101"/>
        <n v="52"/>
        <n v="55"/>
        <n v="137"/>
        <n v="96"/>
        <n v="76"/>
        <n v="145"/>
        <n v="83"/>
        <n v="108"/>
        <n v="144"/>
        <n v="92"/>
        <n v="71"/>
        <n v="103"/>
        <n v="93"/>
        <n v="143"/>
        <n v="99"/>
        <n v="120"/>
        <n v="66"/>
        <n v="88"/>
        <n v="127"/>
        <n v="67"/>
        <n v="149"/>
        <n v="104"/>
        <n v="57"/>
        <n v="90"/>
        <n v="69"/>
        <n v="59"/>
        <n v="109"/>
        <n v="61"/>
        <n v="130"/>
        <n v="60"/>
        <n v="73"/>
      </sharedItems>
    </cacheField>
    <cacheField name="Unit Price" numFmtId="168">
      <sharedItems/>
    </cacheField>
    <cacheField name="Cost of Goods" numFmtId="2">
      <sharedItems containsSemiMixedTypes="0" containsString="0" containsNumber="1" containsInteger="1" minValue="400" maxValue="7000"/>
    </cacheField>
    <cacheField name="profit" numFmtId="0">
      <sharedItems containsSemiMixedTypes="0" containsString="0" containsNumber="1" containsInteger="1" minValue="11400" maxValue="381000"/>
    </cacheField>
    <cacheField name="Total Sales" numFmtId="2">
      <sharedItems containsSemiMixedTypes="0" containsString="0" containsNumber="1" containsInteger="1" minValue="34200" maxValue="1270000" count="47">
        <n v="504000"/>
        <n v="448000"/>
        <n v="163200"/>
        <n v="91000"/>
        <n v="440000"/>
        <n v="61200"/>
        <n v="78000"/>
        <n v="876000"/>
        <n v="60600"/>
        <n v="312000"/>
        <n v="66000"/>
        <n v="137000"/>
        <n v="336000"/>
        <n v="208000"/>
        <n v="266000"/>
        <n v="580000"/>
        <n v="49800"/>
        <n v="1080000"/>
        <n v="576000"/>
        <n v="55200"/>
        <n v="426000"/>
        <n v="61800"/>
        <n v="55000"/>
        <n v="372000"/>
        <n v="85800"/>
        <n v="500500"/>
        <n v="59400"/>
        <n v="120000"/>
        <n v="231000"/>
        <n v="105600"/>
        <n v="1270000"/>
        <n v="268000"/>
        <n v="80400"/>
        <n v="149000"/>
        <n v="62400"/>
        <n v="34200"/>
        <n v="54000"/>
        <n v="40200"/>
        <n v="508000"/>
        <n v="108000"/>
        <n v="468000"/>
        <n v="69000"/>
        <n v="70800"/>
        <n v="65400"/>
        <n v="244000"/>
        <n v="210000"/>
        <n v="438000"/>
      </sharedItems>
    </cacheField>
    <cacheField name="GRANDTOTAL" numFmtId="0">
      <sharedItems containsBlank="1" containsMixedTypes="1" containsNumber="1" containsInteger="1" minValue="4705" maxValue="1294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d v="2021-02-19T00:00:00"/>
    <x v="0"/>
    <x v="0"/>
    <x v="0"/>
    <x v="0"/>
    <s v="Rs. 6,000"/>
    <n v="4000"/>
    <n v="168000"/>
    <x v="0"/>
    <n v="12944500"/>
  </r>
  <r>
    <d v="2021-09-07T00:00:00"/>
    <x v="1"/>
    <x v="1"/>
    <x v="1"/>
    <x v="1"/>
    <s v="Rs. 3,500"/>
    <n v="2500"/>
    <n v="128000"/>
    <x v="1"/>
    <s v="UNITSOLD"/>
  </r>
  <r>
    <d v="2021-02-03T00:00:00"/>
    <x v="2"/>
    <x v="2"/>
    <x v="2"/>
    <x v="2"/>
    <s v="Rs. 1,200"/>
    <n v="800"/>
    <n v="54400"/>
    <x v="2"/>
    <n v="4705"/>
  </r>
  <r>
    <d v="2020-09-11T00:00:00"/>
    <x v="3"/>
    <x v="3"/>
    <x v="3"/>
    <x v="3"/>
    <s v="Rs. 1,000"/>
    <n v="700"/>
    <n v="27300"/>
    <x v="3"/>
    <s v="TOTAL PROFIT"/>
  </r>
  <r>
    <d v="2021-09-23T00:00:00"/>
    <x v="4"/>
    <x v="0"/>
    <x v="4"/>
    <x v="4"/>
    <s v="Rs. 4,000"/>
    <n v="3000"/>
    <n v="110000"/>
    <x v="4"/>
    <n v="3834400"/>
  </r>
  <r>
    <d v="2020-10-01T00:00:00"/>
    <x v="5"/>
    <x v="1"/>
    <x v="2"/>
    <x v="5"/>
    <s v="Rs. 1,200"/>
    <n v="800"/>
    <n v="20400"/>
    <x v="5"/>
    <s v="AVERAGE SALES"/>
  </r>
  <r>
    <d v="2021-08-05T00:00:00"/>
    <x v="6"/>
    <x v="3"/>
    <x v="3"/>
    <x v="6"/>
    <s v="Rs. 1,000"/>
    <n v="700"/>
    <n v="23400"/>
    <x v="6"/>
    <n v="258890"/>
  </r>
  <r>
    <d v="2020-11-06T00:00:00"/>
    <x v="7"/>
    <x v="2"/>
    <x v="0"/>
    <x v="7"/>
    <s v="Rs. 6,000"/>
    <n v="4000"/>
    <n v="292000"/>
    <x v="7"/>
    <m/>
  </r>
  <r>
    <d v="2021-01-27T00:00:00"/>
    <x v="8"/>
    <x v="0"/>
    <x v="5"/>
    <x v="8"/>
    <s v="Rs. 600"/>
    <n v="400"/>
    <n v="20200"/>
    <x v="8"/>
    <m/>
  </r>
  <r>
    <d v="2021-09-03T00:00:00"/>
    <x v="9"/>
    <x v="2"/>
    <x v="0"/>
    <x v="9"/>
    <s v="Rs. 6,000"/>
    <n v="4000"/>
    <n v="104000"/>
    <x v="9"/>
    <m/>
  </r>
  <r>
    <d v="2021-09-30T00:00:00"/>
    <x v="9"/>
    <x v="1"/>
    <x v="2"/>
    <x v="10"/>
    <s v="Rs. 1,200"/>
    <n v="800"/>
    <n v="22000"/>
    <x v="10"/>
    <m/>
  </r>
  <r>
    <d v="2020-09-10T00:00:00"/>
    <x v="9"/>
    <x v="2"/>
    <x v="3"/>
    <x v="11"/>
    <s v="Rs. 1,000"/>
    <n v="700"/>
    <n v="41100"/>
    <x v="11"/>
    <m/>
  </r>
  <r>
    <d v="2021-07-27T00:00:00"/>
    <x v="7"/>
    <x v="2"/>
    <x v="1"/>
    <x v="12"/>
    <s v="Rs. 3,500"/>
    <n v="2500"/>
    <n v="96000"/>
    <x v="12"/>
    <m/>
  </r>
  <r>
    <d v="2020-10-09T00:00:00"/>
    <x v="8"/>
    <x v="1"/>
    <x v="4"/>
    <x v="9"/>
    <s v="Rs. 4,000"/>
    <n v="3000"/>
    <n v="52000"/>
    <x v="13"/>
    <m/>
  </r>
  <r>
    <d v="2021-04-06T00:00:00"/>
    <x v="3"/>
    <x v="0"/>
    <x v="1"/>
    <x v="13"/>
    <s v="Rs. 3,500"/>
    <n v="2500"/>
    <n v="76000"/>
    <x v="14"/>
    <m/>
  </r>
  <r>
    <d v="2021-06-15T00:00:00"/>
    <x v="1"/>
    <x v="3"/>
    <x v="4"/>
    <x v="14"/>
    <s v="Rs. 4,000"/>
    <n v="3000"/>
    <n v="145000"/>
    <x v="15"/>
    <m/>
  </r>
  <r>
    <d v="2020-09-09T00:00:00"/>
    <x v="0"/>
    <x v="2"/>
    <x v="5"/>
    <x v="15"/>
    <s v="Rs. 600"/>
    <n v="400"/>
    <n v="16600"/>
    <x v="16"/>
    <m/>
  </r>
  <r>
    <d v="2021-08-13T00:00:00"/>
    <x v="4"/>
    <x v="2"/>
    <x v="3"/>
    <x v="3"/>
    <s v="Rs. 1,000"/>
    <n v="700"/>
    <n v="27300"/>
    <x v="3"/>
    <m/>
  </r>
  <r>
    <d v="2020-08-27T00:00:00"/>
    <x v="5"/>
    <x v="0"/>
    <x v="6"/>
    <x v="16"/>
    <s v="Rs. 10,000"/>
    <n v="7000"/>
    <n v="324000"/>
    <x v="17"/>
    <m/>
  </r>
  <r>
    <d v="2021-04-07T00:00:00"/>
    <x v="2"/>
    <x v="3"/>
    <x v="4"/>
    <x v="17"/>
    <s v="Rs. 4,000"/>
    <n v="3000"/>
    <n v="144000"/>
    <x v="18"/>
    <m/>
  </r>
  <r>
    <d v="2020-06-08T00:00:00"/>
    <x v="4"/>
    <x v="2"/>
    <x v="5"/>
    <x v="18"/>
    <s v="Rs. 600"/>
    <n v="400"/>
    <n v="18400"/>
    <x v="19"/>
    <m/>
  </r>
  <r>
    <d v="2021-12-21T00:00:00"/>
    <x v="7"/>
    <x v="0"/>
    <x v="0"/>
    <x v="19"/>
    <s v="Rs. 6,000"/>
    <n v="4000"/>
    <n v="142000"/>
    <x v="20"/>
    <m/>
  </r>
  <r>
    <d v="2021-08-10T00:00:00"/>
    <x v="0"/>
    <x v="1"/>
    <x v="5"/>
    <x v="20"/>
    <s v="Rs. 600"/>
    <n v="400"/>
    <n v="20600"/>
    <x v="21"/>
    <m/>
  </r>
  <r>
    <d v="2021-12-02T00:00:00"/>
    <x v="9"/>
    <x v="3"/>
    <x v="3"/>
    <x v="10"/>
    <s v="Rs. 1,000"/>
    <n v="700"/>
    <n v="16500"/>
    <x v="22"/>
    <m/>
  </r>
  <r>
    <d v="2021-08-30T00:00:00"/>
    <x v="5"/>
    <x v="1"/>
    <x v="4"/>
    <x v="21"/>
    <s v="Rs. 4,000"/>
    <n v="3000"/>
    <n v="93000"/>
    <x v="23"/>
    <m/>
  </r>
  <r>
    <d v="2020-05-20T00:00:00"/>
    <x v="2"/>
    <x v="2"/>
    <x v="5"/>
    <x v="22"/>
    <s v="Rs. 600"/>
    <n v="400"/>
    <n v="28600"/>
    <x v="24"/>
    <m/>
  </r>
  <r>
    <d v="2021-09-13T00:00:00"/>
    <x v="6"/>
    <x v="0"/>
    <x v="1"/>
    <x v="22"/>
    <s v="Rs. 3,500"/>
    <n v="2500"/>
    <n v="143000"/>
    <x v="25"/>
    <m/>
  </r>
  <r>
    <d v="2021-10-27T00:00:00"/>
    <x v="8"/>
    <x v="3"/>
    <x v="5"/>
    <x v="23"/>
    <s v="Rs. 600"/>
    <n v="400"/>
    <n v="19800"/>
    <x v="26"/>
    <m/>
  </r>
  <r>
    <d v="2020-12-22T00:00:00"/>
    <x v="3"/>
    <x v="0"/>
    <x v="3"/>
    <x v="24"/>
    <s v="Rs. 1,000"/>
    <n v="700"/>
    <n v="36000"/>
    <x v="27"/>
    <m/>
  </r>
  <r>
    <d v="2021-07-28T00:00:00"/>
    <x v="1"/>
    <x v="2"/>
    <x v="1"/>
    <x v="25"/>
    <s v="Rs. 3,500"/>
    <n v="2500"/>
    <n v="66000"/>
    <x v="28"/>
    <m/>
  </r>
  <r>
    <d v="2020-09-29T00:00:00"/>
    <x v="8"/>
    <x v="3"/>
    <x v="2"/>
    <x v="26"/>
    <s v="Rs. 1,200"/>
    <n v="800"/>
    <n v="35200"/>
    <x v="29"/>
    <m/>
  </r>
  <r>
    <d v="2020-10-22T00:00:00"/>
    <x v="3"/>
    <x v="1"/>
    <x v="6"/>
    <x v="27"/>
    <s v="Rs. 10,000"/>
    <n v="7000"/>
    <n v="381000"/>
    <x v="30"/>
    <m/>
  </r>
  <r>
    <d v="2020-05-19T00:00:00"/>
    <x v="4"/>
    <x v="0"/>
    <x v="4"/>
    <x v="28"/>
    <s v="Rs. 4,000"/>
    <n v="3000"/>
    <n v="67000"/>
    <x v="31"/>
    <m/>
  </r>
  <r>
    <d v="2021-12-06T00:00:00"/>
    <x v="1"/>
    <x v="1"/>
    <x v="2"/>
    <x v="28"/>
    <s v="Rs. 1,200"/>
    <n v="800"/>
    <n v="26800"/>
    <x v="32"/>
    <m/>
  </r>
  <r>
    <d v="2020-08-26T00:00:00"/>
    <x v="9"/>
    <x v="2"/>
    <x v="3"/>
    <x v="29"/>
    <s v="Rs. 1,000"/>
    <n v="700"/>
    <n v="44700"/>
    <x v="33"/>
    <m/>
  </r>
  <r>
    <d v="2021-07-01T00:00:00"/>
    <x v="4"/>
    <x v="3"/>
    <x v="5"/>
    <x v="30"/>
    <s v="Rs. 600"/>
    <n v="400"/>
    <n v="20800"/>
    <x v="34"/>
    <m/>
  </r>
  <r>
    <d v="2021-07-27T00:00:00"/>
    <x v="7"/>
    <x v="0"/>
    <x v="5"/>
    <x v="31"/>
    <s v="Rs. 600"/>
    <n v="400"/>
    <n v="11400"/>
    <x v="35"/>
    <m/>
  </r>
  <r>
    <d v="2020-10-05T00:00:00"/>
    <x v="2"/>
    <x v="1"/>
    <x v="5"/>
    <x v="32"/>
    <s v="Rs. 600"/>
    <n v="400"/>
    <n v="18000"/>
    <x v="36"/>
    <m/>
  </r>
  <r>
    <d v="2020-09-02T00:00:00"/>
    <x v="5"/>
    <x v="2"/>
    <x v="5"/>
    <x v="28"/>
    <s v="Rs. 600"/>
    <n v="400"/>
    <n v="13400"/>
    <x v="37"/>
    <m/>
  </r>
  <r>
    <d v="2021-09-02T00:00:00"/>
    <x v="0"/>
    <x v="3"/>
    <x v="4"/>
    <x v="27"/>
    <s v="Rs. 4,000"/>
    <n v="3000"/>
    <n v="127000"/>
    <x v="38"/>
    <m/>
  </r>
  <r>
    <d v="2021-04-13T00:00:00"/>
    <x v="5"/>
    <x v="0"/>
    <x v="3"/>
    <x v="16"/>
    <s v="Rs. 1,000"/>
    <n v="700"/>
    <n v="32400"/>
    <x v="39"/>
    <m/>
  </r>
  <r>
    <d v="2021-05-06T00:00:00"/>
    <x v="2"/>
    <x v="1"/>
    <x v="1"/>
    <x v="25"/>
    <s v="Rs. 3,500"/>
    <n v="2500"/>
    <n v="66000"/>
    <x v="28"/>
    <m/>
  </r>
  <r>
    <d v="2021-01-15T00:00:00"/>
    <x v="0"/>
    <x v="3"/>
    <x v="0"/>
    <x v="6"/>
    <s v="Rs. 6,000"/>
    <n v="4000"/>
    <n v="156000"/>
    <x v="40"/>
    <m/>
  </r>
  <r>
    <d v="2020-08-27T00:00:00"/>
    <x v="7"/>
    <x v="2"/>
    <x v="3"/>
    <x v="33"/>
    <s v="Rs. 1,000"/>
    <n v="700"/>
    <n v="20700"/>
    <x v="41"/>
    <m/>
  </r>
  <r>
    <d v="2021-02-05T00:00:00"/>
    <x v="4"/>
    <x v="0"/>
    <x v="2"/>
    <x v="34"/>
    <s v="Rs. 1,200"/>
    <n v="800"/>
    <n v="23600"/>
    <x v="42"/>
    <m/>
  </r>
  <r>
    <d v="2021-11-17T00:00:00"/>
    <x v="9"/>
    <x v="2"/>
    <x v="5"/>
    <x v="35"/>
    <s v="Rs. 600"/>
    <n v="400"/>
    <n v="21800"/>
    <x v="43"/>
    <m/>
  </r>
  <r>
    <d v="2020-12-28T00:00:00"/>
    <x v="8"/>
    <x v="1"/>
    <x v="4"/>
    <x v="36"/>
    <s v="Rs. 4,000"/>
    <n v="3000"/>
    <n v="61000"/>
    <x v="44"/>
    <m/>
  </r>
  <r>
    <d v="2021-10-27T00:00:00"/>
    <x v="4"/>
    <x v="3"/>
    <x v="5"/>
    <x v="37"/>
    <s v="Rs. 600"/>
    <n v="400"/>
    <n v="26000"/>
    <x v="6"/>
    <m/>
  </r>
  <r>
    <d v="2021-11-02T00:00:00"/>
    <x v="3"/>
    <x v="2"/>
    <x v="1"/>
    <x v="38"/>
    <s v="Rs. 3,500"/>
    <n v="2500"/>
    <n v="60000"/>
    <x v="45"/>
    <m/>
  </r>
  <r>
    <d v="2020-05-07T00:00:00"/>
    <x v="1"/>
    <x v="1"/>
    <x v="0"/>
    <x v="39"/>
    <s v="Rs. 6,000"/>
    <n v="4000"/>
    <n v="146000"/>
    <x v="4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42:B50" firstHeaderRow="1" firstDataRow="1" firstDataCol="1"/>
  <pivotFields count="10">
    <pivotField numFmtId="14" showAll="0"/>
    <pivotField showAll="0">
      <items count="11">
        <item x="0"/>
        <item x="8"/>
        <item x="3"/>
        <item x="5"/>
        <item x="7"/>
        <item x="2"/>
        <item x="1"/>
        <item x="4"/>
        <item x="9"/>
        <item x="6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axis="axisRow" showAll="0">
      <items count="8">
        <item x="2"/>
        <item x="1"/>
        <item x="5"/>
        <item x="3"/>
        <item x="6"/>
        <item x="4"/>
        <item x="0"/>
        <item t="default"/>
      </items>
    </pivotField>
    <pivotField dataField="1" showAll="0">
      <items count="41">
        <item x="5"/>
        <item x="9"/>
        <item x="10"/>
        <item x="31"/>
        <item x="34"/>
        <item x="38"/>
        <item x="36"/>
        <item x="25"/>
        <item x="28"/>
        <item x="33"/>
        <item x="19"/>
        <item x="39"/>
        <item x="13"/>
        <item x="6"/>
        <item x="15"/>
        <item x="0"/>
        <item x="26"/>
        <item x="32"/>
        <item x="3"/>
        <item x="18"/>
        <item x="21"/>
        <item x="12"/>
        <item x="23"/>
        <item x="8"/>
        <item x="20"/>
        <item x="30"/>
        <item x="16"/>
        <item x="35"/>
        <item x="4"/>
        <item x="24"/>
        <item x="27"/>
        <item x="1"/>
        <item x="37"/>
        <item x="2"/>
        <item x="11"/>
        <item x="22"/>
        <item x="17"/>
        <item x="14"/>
        <item x="7"/>
        <item x="29"/>
        <item t="default"/>
      </items>
    </pivotField>
    <pivotField showAll="0"/>
    <pivotField numFmtId="2" showAll="0"/>
    <pivotField showAll="0"/>
    <pivotField numFmtId="2" showAll="0">
      <items count="48">
        <item x="35"/>
        <item x="37"/>
        <item x="16"/>
        <item x="36"/>
        <item x="22"/>
        <item x="19"/>
        <item x="26"/>
        <item x="8"/>
        <item x="5"/>
        <item x="21"/>
        <item x="34"/>
        <item x="43"/>
        <item x="10"/>
        <item x="41"/>
        <item x="42"/>
        <item x="6"/>
        <item x="32"/>
        <item x="24"/>
        <item x="3"/>
        <item x="29"/>
        <item x="39"/>
        <item x="27"/>
        <item x="11"/>
        <item x="33"/>
        <item x="2"/>
        <item x="13"/>
        <item x="45"/>
        <item x="28"/>
        <item x="44"/>
        <item x="14"/>
        <item x="31"/>
        <item x="9"/>
        <item x="12"/>
        <item x="23"/>
        <item x="20"/>
        <item x="46"/>
        <item x="4"/>
        <item x="1"/>
        <item x="40"/>
        <item x="25"/>
        <item x="0"/>
        <item x="38"/>
        <item x="18"/>
        <item x="15"/>
        <item x="7"/>
        <item x="17"/>
        <item x="30"/>
        <item t="default"/>
      </items>
    </pivotField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4" baseField="0" baseItem="0" numFmtId="169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9:B37" firstHeaderRow="1" firstDataRow="1" firstDataCol="1"/>
  <pivotFields count="10">
    <pivotField numFmtId="14" showAll="0"/>
    <pivotField showAll="0">
      <items count="11">
        <item x="0"/>
        <item x="8"/>
        <item x="3"/>
        <item x="5"/>
        <item x="7"/>
        <item x="2"/>
        <item x="1"/>
        <item x="4"/>
        <item x="9"/>
        <item x="6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axis="axisRow" showAll="0">
      <items count="8">
        <item x="2"/>
        <item x="1"/>
        <item x="5"/>
        <item x="3"/>
        <item x="6"/>
        <item x="4"/>
        <item x="0"/>
        <item t="default"/>
      </items>
    </pivotField>
    <pivotField showAll="0"/>
    <pivotField showAll="0"/>
    <pivotField numFmtId="2" showAll="0"/>
    <pivotField showAll="0"/>
    <pivotField dataField="1" numFmtId="2" showAll="0">
      <items count="48">
        <item x="35"/>
        <item x="37"/>
        <item x="16"/>
        <item x="36"/>
        <item x="22"/>
        <item x="19"/>
        <item x="26"/>
        <item x="8"/>
        <item x="5"/>
        <item x="21"/>
        <item x="34"/>
        <item x="43"/>
        <item x="10"/>
        <item x="41"/>
        <item x="42"/>
        <item x="6"/>
        <item x="32"/>
        <item x="24"/>
        <item x="3"/>
        <item x="29"/>
        <item x="39"/>
        <item x="27"/>
        <item x="11"/>
        <item x="33"/>
        <item x="2"/>
        <item x="13"/>
        <item x="45"/>
        <item x="28"/>
        <item x="44"/>
        <item x="14"/>
        <item x="31"/>
        <item x="9"/>
        <item x="12"/>
        <item x="23"/>
        <item x="20"/>
        <item x="46"/>
        <item x="4"/>
        <item x="1"/>
        <item x="40"/>
        <item x="25"/>
        <item x="0"/>
        <item x="38"/>
        <item x="18"/>
        <item x="15"/>
        <item x="7"/>
        <item x="17"/>
        <item x="30"/>
        <item t="default"/>
      </items>
    </pivotField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8" baseField="0" baseItem="0" numFmtId="169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3:B24" firstHeaderRow="1" firstDataRow="1" firstDataCol="1"/>
  <pivotFields count="10">
    <pivotField numFmtId="14" showAll="0"/>
    <pivotField axis="axisRow" showAll="0">
      <items count="11">
        <item x="0"/>
        <item x="8"/>
        <item x="3"/>
        <item x="5"/>
        <item x="7"/>
        <item x="2"/>
        <item x="1"/>
        <item x="4"/>
        <item x="9"/>
        <item x="6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numFmtId="2" showAll="0"/>
    <pivotField showAll="0"/>
    <pivotField dataField="1" numFmtId="2" showAll="0">
      <items count="48">
        <item x="35"/>
        <item x="37"/>
        <item x="16"/>
        <item x="36"/>
        <item x="22"/>
        <item x="19"/>
        <item x="26"/>
        <item x="8"/>
        <item x="5"/>
        <item x="21"/>
        <item x="34"/>
        <item x="43"/>
        <item x="10"/>
        <item x="41"/>
        <item x="42"/>
        <item x="6"/>
        <item x="32"/>
        <item x="24"/>
        <item x="3"/>
        <item x="29"/>
        <item x="39"/>
        <item x="27"/>
        <item x="11"/>
        <item x="33"/>
        <item x="2"/>
        <item x="13"/>
        <item x="45"/>
        <item x="28"/>
        <item x="44"/>
        <item x="14"/>
        <item x="31"/>
        <item x="9"/>
        <item x="12"/>
        <item x="23"/>
        <item x="20"/>
        <item x="46"/>
        <item x="4"/>
        <item x="1"/>
        <item x="40"/>
        <item x="25"/>
        <item x="0"/>
        <item x="38"/>
        <item x="18"/>
        <item x="15"/>
        <item x="7"/>
        <item x="17"/>
        <item x="30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8" baseField="1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10">
    <pivotField numFmtId="14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numFmtId="2" showAll="0"/>
    <pivotField showAll="0"/>
    <pivotField dataField="1" numFmtId="2" showAll="0">
      <items count="48">
        <item x="35"/>
        <item x="37"/>
        <item x="16"/>
        <item x="36"/>
        <item x="22"/>
        <item x="19"/>
        <item x="26"/>
        <item x="8"/>
        <item x="5"/>
        <item x="21"/>
        <item x="34"/>
        <item x="43"/>
        <item x="10"/>
        <item x="41"/>
        <item x="42"/>
        <item x="6"/>
        <item x="32"/>
        <item x="24"/>
        <item x="3"/>
        <item x="29"/>
        <item x="39"/>
        <item x="27"/>
        <item x="11"/>
        <item x="33"/>
        <item x="2"/>
        <item x="13"/>
        <item x="45"/>
        <item x="28"/>
        <item x="44"/>
        <item x="14"/>
        <item x="31"/>
        <item x="9"/>
        <item x="12"/>
        <item x="23"/>
        <item x="20"/>
        <item x="46"/>
        <item x="4"/>
        <item x="1"/>
        <item x="40"/>
        <item x="25"/>
        <item x="0"/>
        <item x="38"/>
        <item x="18"/>
        <item x="15"/>
        <item x="7"/>
        <item x="17"/>
        <item x="30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formats count="3">
    <format dxfId="5">
      <pivotArea collapsedLevelsAreSubtotals="1" fieldPosition="0">
        <references count="1">
          <reference field="2" count="1">
            <x v="0"/>
          </reference>
        </references>
      </pivotArea>
    </format>
    <format dxfId="4">
      <pivotArea collapsedLevelsAreSubtotals="1" fieldPosition="0">
        <references count="1">
          <reference field="2" count="3">
            <x v="1"/>
            <x v="2"/>
            <x v="3"/>
          </reference>
        </references>
      </pivotArea>
    </format>
    <format dxfId="1">
      <pivotArea grandRow="1" outline="0" collapsedLevelsAreSubtotals="1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J8" totalsRowShown="0">
  <autoFilter ref="A1:J8"/>
  <tableColumns count="10">
    <tableColumn id="1" name="Date" dataDxfId="0"/>
    <tableColumn id="2" name="Sales Person"/>
    <tableColumn id="3" name="Region"/>
    <tableColumn id="4" name="Product"/>
    <tableColumn id="5" name="Units Sold"/>
    <tableColumn id="6" name="Unit Price"/>
    <tableColumn id="7" name="Cost of Goods"/>
    <tableColumn id="8" name="profit"/>
    <tableColumn id="9" name="Total Sales"/>
    <tableColumn id="10" name="GRAND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J51" totalsRowShown="0" dataDxfId="6" tableBorderDxfId="16">
  <autoFilter ref="A1:J51"/>
  <tableColumns count="10">
    <tableColumn id="1" name="Date" dataDxfId="15"/>
    <tableColumn id="2" name="Sales Person" dataDxfId="14"/>
    <tableColumn id="3" name="Region" dataDxfId="13"/>
    <tableColumn id="4" name="Product" dataDxfId="12"/>
    <tableColumn id="5" name="Units Sold" dataDxfId="11"/>
    <tableColumn id="6" name="Unit Price" dataDxfId="10"/>
    <tableColumn id="7" name="Cost of Goods" dataDxfId="9"/>
    <tableColumn id="8" name="profit" dataDxfId="8">
      <calculatedColumnFormula>I2-(G2*E2)</calculatedColumnFormula>
    </tableColumn>
    <tableColumn id="9" name="Total Sales" dataDxfId="7" dataCellStyle="Currency"/>
    <tableColumn id="10" name="GRAND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G11" sqref="G11"/>
    </sheetView>
  </sheetViews>
  <sheetFormatPr defaultRowHeight="14.4"/>
  <cols>
    <col min="2" max="2" width="13.33203125" customWidth="1"/>
    <col min="4" max="4" width="9.5546875" customWidth="1"/>
    <col min="5" max="5" width="11.33203125" customWidth="1"/>
    <col min="6" max="6" width="11" customWidth="1"/>
    <col min="7" max="7" width="14.5546875" customWidth="1"/>
    <col min="9" max="9" width="11.77734375" customWidth="1"/>
    <col min="10" max="10" width="14.44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7</v>
      </c>
      <c r="J1" t="s">
        <v>36</v>
      </c>
    </row>
    <row r="2" spans="1:10">
      <c r="A2" s="2">
        <v>44496</v>
      </c>
      <c r="B2" t="s">
        <v>25</v>
      </c>
      <c r="C2" t="s">
        <v>22</v>
      </c>
      <c r="D2" t="s">
        <v>31</v>
      </c>
      <c r="E2">
        <v>130</v>
      </c>
      <c r="F2" t="s">
        <v>32</v>
      </c>
      <c r="G2">
        <v>400</v>
      </c>
      <c r="H2">
        <v>26000</v>
      </c>
      <c r="I2">
        <v>78000</v>
      </c>
    </row>
    <row r="3" spans="1:10">
      <c r="A3" s="2">
        <v>44232</v>
      </c>
      <c r="B3" t="s">
        <v>25</v>
      </c>
      <c r="C3" t="s">
        <v>9</v>
      </c>
      <c r="D3" t="s">
        <v>19</v>
      </c>
      <c r="E3">
        <v>59</v>
      </c>
      <c r="F3" t="s">
        <v>20</v>
      </c>
      <c r="G3">
        <v>800</v>
      </c>
      <c r="H3">
        <v>23600</v>
      </c>
      <c r="I3">
        <v>70800</v>
      </c>
    </row>
    <row r="4" spans="1:10">
      <c r="A4" s="2">
        <v>44378</v>
      </c>
      <c r="B4" t="s">
        <v>25</v>
      </c>
      <c r="C4" t="s">
        <v>22</v>
      </c>
      <c r="D4" t="s">
        <v>31</v>
      </c>
      <c r="E4">
        <v>104</v>
      </c>
      <c r="F4" t="s">
        <v>32</v>
      </c>
      <c r="G4">
        <v>400</v>
      </c>
      <c r="H4">
        <v>20800</v>
      </c>
      <c r="I4">
        <v>62400</v>
      </c>
    </row>
    <row r="5" spans="1:10">
      <c r="A5" s="2">
        <v>43970</v>
      </c>
      <c r="B5" t="s">
        <v>25</v>
      </c>
      <c r="C5" t="s">
        <v>9</v>
      </c>
      <c r="D5" t="s">
        <v>26</v>
      </c>
      <c r="E5">
        <v>67</v>
      </c>
      <c r="F5" t="s">
        <v>12</v>
      </c>
      <c r="G5">
        <v>3000</v>
      </c>
      <c r="H5">
        <v>67000</v>
      </c>
      <c r="I5">
        <v>268000</v>
      </c>
    </row>
    <row r="6" spans="1:10">
      <c r="A6" s="2">
        <v>44462</v>
      </c>
      <c r="B6" t="s">
        <v>25</v>
      </c>
      <c r="C6" t="s">
        <v>9</v>
      </c>
      <c r="D6" t="s">
        <v>26</v>
      </c>
      <c r="E6">
        <v>110</v>
      </c>
      <c r="F6" t="s">
        <v>12</v>
      </c>
      <c r="G6">
        <v>3000</v>
      </c>
      <c r="H6">
        <v>110000</v>
      </c>
      <c r="I6">
        <v>440000</v>
      </c>
      <c r="J6">
        <v>3834400</v>
      </c>
    </row>
    <row r="7" spans="1:10">
      <c r="A7" s="2">
        <v>43990</v>
      </c>
      <c r="B7" t="s">
        <v>25</v>
      </c>
      <c r="C7" t="s">
        <v>18</v>
      </c>
      <c r="D7" t="s">
        <v>31</v>
      </c>
      <c r="E7">
        <v>92</v>
      </c>
      <c r="F7" t="s">
        <v>32</v>
      </c>
      <c r="G7">
        <v>400</v>
      </c>
      <c r="H7">
        <v>18400</v>
      </c>
      <c r="I7">
        <v>55200</v>
      </c>
    </row>
    <row r="8" spans="1:10">
      <c r="A8" s="2">
        <v>44421</v>
      </c>
      <c r="B8" t="s">
        <v>25</v>
      </c>
      <c r="C8" t="s">
        <v>18</v>
      </c>
      <c r="D8" t="s">
        <v>23</v>
      </c>
      <c r="E8">
        <v>91</v>
      </c>
      <c r="F8" t="s">
        <v>24</v>
      </c>
      <c r="G8">
        <v>700</v>
      </c>
      <c r="H8">
        <v>27300</v>
      </c>
      <c r="I8">
        <v>91000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"/>
  <sheetViews>
    <sheetView tabSelected="1" topLeftCell="B4" zoomScale="80" zoomScaleNormal="100" workbookViewId="0">
      <selection activeCell="N40" sqref="N40"/>
    </sheetView>
  </sheetViews>
  <sheetFormatPr defaultRowHeight="14.4"/>
  <cols>
    <col min="1" max="1" width="12.5546875" customWidth="1"/>
    <col min="2" max="2" width="16.44140625" customWidth="1"/>
    <col min="3" max="3" width="16" bestFit="1" customWidth="1"/>
  </cols>
  <sheetData>
    <row r="3" spans="1:2">
      <c r="A3" s="18" t="s">
        <v>41</v>
      </c>
      <c r="B3" t="s">
        <v>43</v>
      </c>
    </row>
    <row r="4" spans="1:2">
      <c r="A4" s="19" t="s">
        <v>14</v>
      </c>
      <c r="B4" s="20">
        <v>3534400</v>
      </c>
    </row>
    <row r="5" spans="1:2">
      <c r="A5" s="19" t="s">
        <v>22</v>
      </c>
      <c r="B5" s="20">
        <v>2661400</v>
      </c>
    </row>
    <row r="6" spans="1:2">
      <c r="A6" s="19" t="s">
        <v>18</v>
      </c>
      <c r="B6" s="20">
        <v>2870600</v>
      </c>
    </row>
    <row r="7" spans="1:2">
      <c r="A7" s="19" t="s">
        <v>9</v>
      </c>
      <c r="B7" s="20">
        <v>3878100</v>
      </c>
    </row>
    <row r="8" spans="1:2">
      <c r="A8" s="19" t="s">
        <v>42</v>
      </c>
      <c r="B8" s="20">
        <v>12944500</v>
      </c>
    </row>
    <row r="13" spans="1:2">
      <c r="A13" s="18" t="s">
        <v>41</v>
      </c>
      <c r="B13" t="s">
        <v>43</v>
      </c>
    </row>
    <row r="14" spans="1:2">
      <c r="A14" s="19" t="s">
        <v>8</v>
      </c>
      <c r="B14" s="20">
        <v>1591600</v>
      </c>
    </row>
    <row r="15" spans="1:2">
      <c r="A15" s="19" t="s">
        <v>30</v>
      </c>
      <c r="B15" s="20">
        <v>677600</v>
      </c>
    </row>
    <row r="16" spans="1:2">
      <c r="A16" s="19" t="s">
        <v>21</v>
      </c>
      <c r="B16" s="20">
        <v>1957000</v>
      </c>
    </row>
    <row r="17" spans="1:8">
      <c r="A17" s="19" t="s">
        <v>27</v>
      </c>
      <c r="B17" s="20">
        <v>1661400</v>
      </c>
    </row>
    <row r="18" spans="1:8">
      <c r="A18" s="19" t="s">
        <v>29</v>
      </c>
      <c r="B18" s="20">
        <v>1741200</v>
      </c>
    </row>
    <row r="19" spans="1:8">
      <c r="A19" s="19" t="s">
        <v>17</v>
      </c>
      <c r="B19" s="20">
        <v>1110000</v>
      </c>
    </row>
    <row r="20" spans="1:8">
      <c r="A20" s="19" t="s">
        <v>13</v>
      </c>
      <c r="B20" s="20">
        <v>1777400</v>
      </c>
    </row>
    <row r="21" spans="1:8">
      <c r="A21" s="19" t="s">
        <v>25</v>
      </c>
      <c r="B21" s="20">
        <v>1065400</v>
      </c>
    </row>
    <row r="22" spans="1:8">
      <c r="A22" s="19" t="s">
        <v>33</v>
      </c>
      <c r="B22" s="20">
        <v>784400</v>
      </c>
    </row>
    <row r="23" spans="1:8">
      <c r="A23" s="19" t="s">
        <v>28</v>
      </c>
      <c r="B23" s="20">
        <v>578500</v>
      </c>
    </row>
    <row r="24" spans="1:8">
      <c r="A24" s="19" t="s">
        <v>42</v>
      </c>
      <c r="B24" s="20">
        <v>12944500</v>
      </c>
    </row>
    <row r="29" spans="1:8">
      <c r="A29" s="18" t="s">
        <v>41</v>
      </c>
      <c r="B29" t="s">
        <v>43</v>
      </c>
    </row>
    <row r="30" spans="1:8">
      <c r="A30" s="19" t="s">
        <v>19</v>
      </c>
      <c r="B30" s="20">
        <v>547200</v>
      </c>
      <c r="G30" s="19"/>
      <c r="H30" s="20"/>
    </row>
    <row r="31" spans="1:8">
      <c r="A31" s="19" t="s">
        <v>15</v>
      </c>
      <c r="B31" s="20">
        <v>2222500</v>
      </c>
      <c r="G31" s="19"/>
      <c r="H31" s="20"/>
    </row>
    <row r="32" spans="1:8">
      <c r="A32" s="19" t="s">
        <v>31</v>
      </c>
      <c r="B32" s="20">
        <v>706800</v>
      </c>
      <c r="G32" s="19"/>
      <c r="H32" s="20"/>
    </row>
    <row r="33" spans="1:8">
      <c r="A33" s="19" t="s">
        <v>23</v>
      </c>
      <c r="B33" s="20">
        <v>898000</v>
      </c>
      <c r="G33" s="19"/>
      <c r="H33" s="20"/>
    </row>
    <row r="34" spans="1:8">
      <c r="A34" s="19" t="s">
        <v>34</v>
      </c>
      <c r="B34" s="20">
        <v>2350000</v>
      </c>
      <c r="G34" s="19"/>
      <c r="H34" s="20"/>
    </row>
    <row r="35" spans="1:8">
      <c r="A35" s="19" t="s">
        <v>26</v>
      </c>
      <c r="B35" s="20">
        <v>3196000</v>
      </c>
      <c r="G35" s="19"/>
      <c r="H35" s="20"/>
    </row>
    <row r="36" spans="1:8">
      <c r="A36" s="19" t="s">
        <v>10</v>
      </c>
      <c r="B36" s="20">
        <v>3024000</v>
      </c>
      <c r="G36" s="19"/>
      <c r="H36" s="20"/>
    </row>
    <row r="37" spans="1:8">
      <c r="A37" s="19" t="s">
        <v>42</v>
      </c>
      <c r="B37" s="20">
        <v>12944500</v>
      </c>
      <c r="G37" s="19"/>
      <c r="H37" s="20"/>
    </row>
    <row r="38" spans="1:8">
      <c r="G38" s="19"/>
      <c r="H38" s="20"/>
    </row>
    <row r="39" spans="1:8">
      <c r="G39" s="19"/>
      <c r="H39" s="20"/>
    </row>
    <row r="40" spans="1:8">
      <c r="G40" s="19"/>
      <c r="H40" s="20"/>
    </row>
    <row r="42" spans="1:8">
      <c r="A42" s="18" t="s">
        <v>41</v>
      </c>
      <c r="B42" t="s">
        <v>44</v>
      </c>
    </row>
    <row r="43" spans="1:8">
      <c r="A43" s="19" t="s">
        <v>19</v>
      </c>
      <c r="B43" s="20">
        <v>456</v>
      </c>
    </row>
    <row r="44" spans="1:8">
      <c r="A44" s="19" t="s">
        <v>15</v>
      </c>
      <c r="B44" s="20">
        <v>635</v>
      </c>
    </row>
    <row r="45" spans="1:8">
      <c r="A45" s="19" t="s">
        <v>31</v>
      </c>
      <c r="B45" s="20">
        <v>1178</v>
      </c>
    </row>
    <row r="46" spans="1:8">
      <c r="A46" s="19" t="s">
        <v>23</v>
      </c>
      <c r="B46" s="20">
        <v>898</v>
      </c>
    </row>
    <row r="47" spans="1:8">
      <c r="A47" s="19" t="s">
        <v>34</v>
      </c>
      <c r="B47" s="20">
        <v>235</v>
      </c>
    </row>
    <row r="48" spans="1:8">
      <c r="A48" s="19" t="s">
        <v>26</v>
      </c>
      <c r="B48" s="20">
        <v>799</v>
      </c>
    </row>
    <row r="49" spans="1:2">
      <c r="A49" s="19" t="s">
        <v>10</v>
      </c>
      <c r="B49" s="20">
        <v>504</v>
      </c>
    </row>
    <row r="50" spans="1:2">
      <c r="A50" s="19" t="s">
        <v>42</v>
      </c>
      <c r="B50" s="20">
        <v>4705</v>
      </c>
    </row>
  </sheetData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2" workbookViewId="0">
      <selection activeCell="J10" sqref="J10"/>
    </sheetView>
  </sheetViews>
  <sheetFormatPr defaultColWidth="12.21875" defaultRowHeight="14.4"/>
  <cols>
    <col min="2" max="2" width="15.6640625" customWidth="1"/>
    <col min="5" max="5" width="12.77734375" customWidth="1"/>
    <col min="6" max="6" width="12.33203125" style="11" customWidth="1"/>
    <col min="7" max="7" width="16.6640625" style="8" customWidth="1"/>
    <col min="8" max="8" width="12.21875" style="11"/>
    <col min="9" max="9" width="13.88671875" style="7" bestFit="1" customWidth="1"/>
    <col min="10" max="10" width="16.88671875" customWidth="1"/>
  </cols>
  <sheetData>
    <row r="1" spans="1:10" ht="28.2" thickBot="1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4" t="s">
        <v>6</v>
      </c>
      <c r="H1" s="12" t="s">
        <v>39</v>
      </c>
      <c r="I1" s="5" t="s">
        <v>7</v>
      </c>
      <c r="J1" s="4" t="s">
        <v>36</v>
      </c>
    </row>
    <row r="2" spans="1:10" ht="15.6" thickTop="1" thickBot="1">
      <c r="A2" s="17">
        <v>44246</v>
      </c>
      <c r="B2" s="3" t="s">
        <v>8</v>
      </c>
      <c r="C2" s="3" t="s">
        <v>9</v>
      </c>
      <c r="D2" s="3" t="s">
        <v>10</v>
      </c>
      <c r="E2" s="3">
        <v>84</v>
      </c>
      <c r="F2" s="10" t="s">
        <v>11</v>
      </c>
      <c r="G2" s="15">
        <v>4000</v>
      </c>
      <c r="H2" s="13">
        <f>I2-(G2*E2)</f>
        <v>168000</v>
      </c>
      <c r="I2" s="6">
        <v>504000</v>
      </c>
      <c r="J2" s="8">
        <f>SUM(I2:I51)</f>
        <v>12944500</v>
      </c>
    </row>
    <row r="3" spans="1:10" ht="15" thickBot="1">
      <c r="A3" s="17">
        <v>44446</v>
      </c>
      <c r="B3" s="3" t="s">
        <v>13</v>
      </c>
      <c r="C3" s="3" t="s">
        <v>14</v>
      </c>
      <c r="D3" s="3" t="s">
        <v>15</v>
      </c>
      <c r="E3" s="3">
        <v>128</v>
      </c>
      <c r="F3" s="10" t="s">
        <v>16</v>
      </c>
      <c r="G3" s="15">
        <v>2500</v>
      </c>
      <c r="H3" s="13">
        <f t="shared" ref="H3:H51" si="0">I3-(G3*E3)</f>
        <v>128000</v>
      </c>
      <c r="I3" s="6">
        <v>448000</v>
      </c>
      <c r="J3" s="4" t="s">
        <v>37</v>
      </c>
    </row>
    <row r="4" spans="1:10" ht="28.8" thickBot="1">
      <c r="A4" s="17">
        <v>44230</v>
      </c>
      <c r="B4" s="3" t="s">
        <v>17</v>
      </c>
      <c r="C4" s="3" t="s">
        <v>18</v>
      </c>
      <c r="D4" s="3" t="s">
        <v>19</v>
      </c>
      <c r="E4" s="3">
        <v>136</v>
      </c>
      <c r="F4" s="10" t="s">
        <v>20</v>
      </c>
      <c r="G4" s="15">
        <v>800</v>
      </c>
      <c r="H4" s="13">
        <f t="shared" si="0"/>
        <v>54400</v>
      </c>
      <c r="I4" s="6">
        <v>163200</v>
      </c>
      <c r="J4">
        <f>SUM(E2:E51)</f>
        <v>4705</v>
      </c>
    </row>
    <row r="5" spans="1:10" ht="28.2" thickBot="1">
      <c r="A5" s="17">
        <v>44085</v>
      </c>
      <c r="B5" s="3" t="s">
        <v>21</v>
      </c>
      <c r="C5" s="3" t="s">
        <v>22</v>
      </c>
      <c r="D5" s="3" t="s">
        <v>23</v>
      </c>
      <c r="E5" s="3">
        <v>91</v>
      </c>
      <c r="F5" s="10" t="s">
        <v>24</v>
      </c>
      <c r="G5" s="15">
        <v>700</v>
      </c>
      <c r="H5" s="13">
        <f t="shared" si="0"/>
        <v>27300</v>
      </c>
      <c r="I5" s="6">
        <v>91000</v>
      </c>
      <c r="J5" s="4" t="s">
        <v>38</v>
      </c>
    </row>
    <row r="6" spans="1:10" ht="15" thickBot="1">
      <c r="A6" s="17">
        <v>44462</v>
      </c>
      <c r="B6" s="3" t="s">
        <v>25</v>
      </c>
      <c r="C6" s="3" t="s">
        <v>9</v>
      </c>
      <c r="D6" s="3" t="s">
        <v>26</v>
      </c>
      <c r="E6" s="3">
        <v>110</v>
      </c>
      <c r="F6" s="10" t="s">
        <v>12</v>
      </c>
      <c r="G6" s="15">
        <v>3000</v>
      </c>
      <c r="H6" s="13">
        <f t="shared" si="0"/>
        <v>110000</v>
      </c>
      <c r="I6" s="6">
        <v>440000</v>
      </c>
      <c r="J6">
        <f>SUM(H2:H51)</f>
        <v>3834400</v>
      </c>
    </row>
    <row r="7" spans="1:10" ht="28.8" thickBot="1">
      <c r="A7" s="17">
        <v>44105</v>
      </c>
      <c r="B7" s="3" t="s">
        <v>27</v>
      </c>
      <c r="C7" s="3" t="s">
        <v>14</v>
      </c>
      <c r="D7" s="3" t="s">
        <v>19</v>
      </c>
      <c r="E7" s="3">
        <v>51</v>
      </c>
      <c r="F7" s="10" t="s">
        <v>20</v>
      </c>
      <c r="G7" s="15">
        <v>800</v>
      </c>
      <c r="H7" s="13">
        <f t="shared" si="0"/>
        <v>20400</v>
      </c>
      <c r="I7" s="6">
        <v>61200</v>
      </c>
      <c r="J7" s="4" t="s">
        <v>40</v>
      </c>
    </row>
    <row r="8" spans="1:10" ht="15" thickBot="1">
      <c r="A8" s="17">
        <v>44413</v>
      </c>
      <c r="B8" s="3" t="s">
        <v>28</v>
      </c>
      <c r="C8" s="3" t="s">
        <v>22</v>
      </c>
      <c r="D8" s="3" t="s">
        <v>23</v>
      </c>
      <c r="E8" s="3">
        <v>78</v>
      </c>
      <c r="F8" s="10" t="s">
        <v>24</v>
      </c>
      <c r="G8" s="15">
        <v>700</v>
      </c>
      <c r="H8" s="13">
        <f t="shared" si="0"/>
        <v>23400</v>
      </c>
      <c r="I8" s="6">
        <v>78000</v>
      </c>
      <c r="J8" s="8">
        <f>AVERAGE(I2:I51)</f>
        <v>258890</v>
      </c>
    </row>
    <row r="9" spans="1:10" ht="15" thickBot="1">
      <c r="A9" s="17">
        <v>44141</v>
      </c>
      <c r="B9" s="3" t="s">
        <v>29</v>
      </c>
      <c r="C9" s="3" t="s">
        <v>18</v>
      </c>
      <c r="D9" s="3" t="s">
        <v>10</v>
      </c>
      <c r="E9" s="3">
        <v>146</v>
      </c>
      <c r="F9" s="10" t="s">
        <v>11</v>
      </c>
      <c r="G9" s="15">
        <v>4000</v>
      </c>
      <c r="H9" s="13">
        <f t="shared" si="0"/>
        <v>292000</v>
      </c>
      <c r="I9" s="6">
        <v>876000</v>
      </c>
    </row>
    <row r="10" spans="1:10" ht="15" thickBot="1">
      <c r="A10" s="17">
        <v>44223</v>
      </c>
      <c r="B10" s="3" t="s">
        <v>30</v>
      </c>
      <c r="C10" s="3" t="s">
        <v>9</v>
      </c>
      <c r="D10" s="3" t="s">
        <v>31</v>
      </c>
      <c r="E10" s="3">
        <v>101</v>
      </c>
      <c r="F10" s="10" t="s">
        <v>32</v>
      </c>
      <c r="G10" s="15">
        <v>400</v>
      </c>
      <c r="H10" s="13">
        <f t="shared" si="0"/>
        <v>20200</v>
      </c>
      <c r="I10" s="6">
        <v>60600</v>
      </c>
    </row>
    <row r="11" spans="1:10" ht="15" thickBot="1">
      <c r="A11" s="17">
        <v>44442</v>
      </c>
      <c r="B11" s="3" t="s">
        <v>33</v>
      </c>
      <c r="C11" s="3" t="s">
        <v>18</v>
      </c>
      <c r="D11" s="3" t="s">
        <v>10</v>
      </c>
      <c r="E11" s="3">
        <v>52</v>
      </c>
      <c r="F11" s="10" t="s">
        <v>11</v>
      </c>
      <c r="G11" s="15">
        <v>4000</v>
      </c>
      <c r="H11" s="13">
        <f t="shared" si="0"/>
        <v>104000</v>
      </c>
      <c r="I11" s="6">
        <v>312000</v>
      </c>
    </row>
    <row r="12" spans="1:10" ht="28.8" thickBot="1">
      <c r="A12" s="17">
        <v>44469</v>
      </c>
      <c r="B12" s="3" t="s">
        <v>33</v>
      </c>
      <c r="C12" s="3" t="s">
        <v>14</v>
      </c>
      <c r="D12" s="3" t="s">
        <v>19</v>
      </c>
      <c r="E12" s="3">
        <v>55</v>
      </c>
      <c r="F12" s="10" t="s">
        <v>20</v>
      </c>
      <c r="G12" s="15">
        <v>800</v>
      </c>
      <c r="H12" s="13">
        <f t="shared" si="0"/>
        <v>22000</v>
      </c>
      <c r="I12" s="6">
        <v>66000</v>
      </c>
    </row>
    <row r="13" spans="1:10" ht="15" thickBot="1">
      <c r="A13" s="17">
        <v>44084</v>
      </c>
      <c r="B13" s="3" t="s">
        <v>33</v>
      </c>
      <c r="C13" s="3" t="s">
        <v>18</v>
      </c>
      <c r="D13" s="3" t="s">
        <v>23</v>
      </c>
      <c r="E13" s="3">
        <v>137</v>
      </c>
      <c r="F13" s="10" t="s">
        <v>24</v>
      </c>
      <c r="G13" s="15">
        <v>700</v>
      </c>
      <c r="H13" s="13">
        <f t="shared" si="0"/>
        <v>41100</v>
      </c>
      <c r="I13" s="6">
        <v>137000</v>
      </c>
    </row>
    <row r="14" spans="1:10" ht="15" thickBot="1">
      <c r="A14" s="17">
        <v>44404</v>
      </c>
      <c r="B14" s="3" t="s">
        <v>29</v>
      </c>
      <c r="C14" s="3" t="s">
        <v>18</v>
      </c>
      <c r="D14" s="3" t="s">
        <v>15</v>
      </c>
      <c r="E14" s="3">
        <v>96</v>
      </c>
      <c r="F14" s="10" t="s">
        <v>16</v>
      </c>
      <c r="G14" s="15">
        <v>2500</v>
      </c>
      <c r="H14" s="13">
        <f t="shared" si="0"/>
        <v>96000</v>
      </c>
      <c r="I14" s="6">
        <v>336000</v>
      </c>
    </row>
    <row r="15" spans="1:10" ht="15" thickBot="1">
      <c r="A15" s="17">
        <v>44113</v>
      </c>
      <c r="B15" s="3" t="s">
        <v>30</v>
      </c>
      <c r="C15" s="3" t="s">
        <v>14</v>
      </c>
      <c r="D15" s="3" t="s">
        <v>26</v>
      </c>
      <c r="E15" s="3">
        <v>52</v>
      </c>
      <c r="F15" s="10" t="s">
        <v>12</v>
      </c>
      <c r="G15" s="15">
        <v>3000</v>
      </c>
      <c r="H15" s="13">
        <f t="shared" si="0"/>
        <v>52000</v>
      </c>
      <c r="I15" s="6">
        <v>208000</v>
      </c>
    </row>
    <row r="16" spans="1:10" ht="15" thickBot="1">
      <c r="A16" s="17">
        <v>44292</v>
      </c>
      <c r="B16" s="3" t="s">
        <v>21</v>
      </c>
      <c r="C16" s="3" t="s">
        <v>9</v>
      </c>
      <c r="D16" s="3" t="s">
        <v>15</v>
      </c>
      <c r="E16" s="3">
        <v>76</v>
      </c>
      <c r="F16" s="10" t="s">
        <v>16</v>
      </c>
      <c r="G16" s="15">
        <v>2500</v>
      </c>
      <c r="H16" s="13">
        <f t="shared" si="0"/>
        <v>76000</v>
      </c>
      <c r="I16" s="6">
        <v>266000</v>
      </c>
    </row>
    <row r="17" spans="1:9" ht="15" thickBot="1">
      <c r="A17" s="17">
        <v>44362</v>
      </c>
      <c r="B17" s="3" t="s">
        <v>13</v>
      </c>
      <c r="C17" s="3" t="s">
        <v>22</v>
      </c>
      <c r="D17" s="3" t="s">
        <v>26</v>
      </c>
      <c r="E17" s="3">
        <v>145</v>
      </c>
      <c r="F17" s="10" t="s">
        <v>12</v>
      </c>
      <c r="G17" s="15">
        <v>3000</v>
      </c>
      <c r="H17" s="13">
        <f t="shared" si="0"/>
        <v>145000</v>
      </c>
      <c r="I17" s="6">
        <v>580000</v>
      </c>
    </row>
    <row r="18" spans="1:9" ht="15" thickBot="1">
      <c r="A18" s="17">
        <v>44083</v>
      </c>
      <c r="B18" s="3" t="s">
        <v>8</v>
      </c>
      <c r="C18" s="3" t="s">
        <v>18</v>
      </c>
      <c r="D18" s="3" t="s">
        <v>31</v>
      </c>
      <c r="E18" s="3">
        <v>83</v>
      </c>
      <c r="F18" s="10" t="s">
        <v>32</v>
      </c>
      <c r="G18" s="15">
        <v>400</v>
      </c>
      <c r="H18" s="13">
        <f t="shared" si="0"/>
        <v>16600</v>
      </c>
      <c r="I18" s="6">
        <v>49800</v>
      </c>
    </row>
    <row r="19" spans="1:9" ht="15" thickBot="1">
      <c r="A19" s="17">
        <v>44421</v>
      </c>
      <c r="B19" s="3" t="s">
        <v>25</v>
      </c>
      <c r="C19" s="3" t="s">
        <v>18</v>
      </c>
      <c r="D19" s="3" t="s">
        <v>23</v>
      </c>
      <c r="E19" s="3">
        <v>91</v>
      </c>
      <c r="F19" s="10" t="s">
        <v>24</v>
      </c>
      <c r="G19" s="15">
        <v>700</v>
      </c>
      <c r="H19" s="13">
        <f t="shared" si="0"/>
        <v>27300</v>
      </c>
      <c r="I19" s="6">
        <v>91000</v>
      </c>
    </row>
    <row r="20" spans="1:9" ht="15" thickBot="1">
      <c r="A20" s="17">
        <v>44070</v>
      </c>
      <c r="B20" s="3" t="s">
        <v>27</v>
      </c>
      <c r="C20" s="3" t="s">
        <v>9</v>
      </c>
      <c r="D20" s="3" t="s">
        <v>34</v>
      </c>
      <c r="E20" s="3">
        <v>108</v>
      </c>
      <c r="F20" s="10" t="s">
        <v>35</v>
      </c>
      <c r="G20" s="15">
        <v>7000</v>
      </c>
      <c r="H20" s="13">
        <f t="shared" si="0"/>
        <v>324000</v>
      </c>
      <c r="I20" s="6">
        <v>1080000</v>
      </c>
    </row>
    <row r="21" spans="1:9" ht="15" thickBot="1">
      <c r="A21" s="17">
        <v>44293</v>
      </c>
      <c r="B21" s="3" t="s">
        <v>17</v>
      </c>
      <c r="C21" s="3" t="s">
        <v>22</v>
      </c>
      <c r="D21" s="3" t="s">
        <v>26</v>
      </c>
      <c r="E21" s="3">
        <v>144</v>
      </c>
      <c r="F21" s="10" t="s">
        <v>12</v>
      </c>
      <c r="G21" s="15">
        <v>3000</v>
      </c>
      <c r="H21" s="13">
        <f t="shared" si="0"/>
        <v>144000</v>
      </c>
      <c r="I21" s="6">
        <v>576000</v>
      </c>
    </row>
    <row r="22" spans="1:9" ht="15" thickBot="1">
      <c r="A22" s="17">
        <v>43990</v>
      </c>
      <c r="B22" s="3" t="s">
        <v>25</v>
      </c>
      <c r="C22" s="3" t="s">
        <v>18</v>
      </c>
      <c r="D22" s="3" t="s">
        <v>31</v>
      </c>
      <c r="E22" s="3">
        <v>92</v>
      </c>
      <c r="F22" s="10" t="s">
        <v>32</v>
      </c>
      <c r="G22" s="15">
        <v>400</v>
      </c>
      <c r="H22" s="13">
        <f t="shared" si="0"/>
        <v>18400</v>
      </c>
      <c r="I22" s="6">
        <v>55200</v>
      </c>
    </row>
    <row r="23" spans="1:9" ht="15" thickBot="1">
      <c r="A23" s="17">
        <v>44551</v>
      </c>
      <c r="B23" s="3" t="s">
        <v>29</v>
      </c>
      <c r="C23" s="3" t="s">
        <v>9</v>
      </c>
      <c r="D23" s="3" t="s">
        <v>10</v>
      </c>
      <c r="E23" s="3">
        <v>71</v>
      </c>
      <c r="F23" s="10" t="s">
        <v>11</v>
      </c>
      <c r="G23" s="15">
        <v>4000</v>
      </c>
      <c r="H23" s="13">
        <f t="shared" si="0"/>
        <v>142000</v>
      </c>
      <c r="I23" s="6">
        <v>426000</v>
      </c>
    </row>
    <row r="24" spans="1:9" ht="15" thickBot="1">
      <c r="A24" s="17">
        <v>44418</v>
      </c>
      <c r="B24" s="3" t="s">
        <v>8</v>
      </c>
      <c r="C24" s="3" t="s">
        <v>14</v>
      </c>
      <c r="D24" s="3" t="s">
        <v>31</v>
      </c>
      <c r="E24" s="3">
        <v>103</v>
      </c>
      <c r="F24" s="10" t="s">
        <v>32</v>
      </c>
      <c r="G24" s="15">
        <v>400</v>
      </c>
      <c r="H24" s="13">
        <f t="shared" si="0"/>
        <v>20600</v>
      </c>
      <c r="I24" s="6">
        <v>61800</v>
      </c>
    </row>
    <row r="25" spans="1:9" ht="15" thickBot="1">
      <c r="A25" s="17">
        <v>44532</v>
      </c>
      <c r="B25" s="3" t="s">
        <v>33</v>
      </c>
      <c r="C25" s="3" t="s">
        <v>22</v>
      </c>
      <c r="D25" s="3" t="s">
        <v>23</v>
      </c>
      <c r="E25" s="3">
        <v>55</v>
      </c>
      <c r="F25" s="10" t="s">
        <v>24</v>
      </c>
      <c r="G25" s="15">
        <v>700</v>
      </c>
      <c r="H25" s="13">
        <f t="shared" si="0"/>
        <v>16500</v>
      </c>
      <c r="I25" s="6">
        <v>55000</v>
      </c>
    </row>
    <row r="26" spans="1:9" ht="15" thickBot="1">
      <c r="A26" s="17">
        <v>44438</v>
      </c>
      <c r="B26" s="3" t="s">
        <v>27</v>
      </c>
      <c r="C26" s="3" t="s">
        <v>14</v>
      </c>
      <c r="D26" s="3" t="s">
        <v>26</v>
      </c>
      <c r="E26" s="3">
        <v>93</v>
      </c>
      <c r="F26" s="10" t="s">
        <v>12</v>
      </c>
      <c r="G26" s="15">
        <v>3000</v>
      </c>
      <c r="H26" s="13">
        <f t="shared" si="0"/>
        <v>93000</v>
      </c>
      <c r="I26" s="6">
        <v>372000</v>
      </c>
    </row>
    <row r="27" spans="1:9" ht="15" thickBot="1">
      <c r="A27" s="17">
        <v>43971</v>
      </c>
      <c r="B27" s="3" t="s">
        <v>17</v>
      </c>
      <c r="C27" s="3" t="s">
        <v>18</v>
      </c>
      <c r="D27" s="3" t="s">
        <v>31</v>
      </c>
      <c r="E27" s="3">
        <v>143</v>
      </c>
      <c r="F27" s="10" t="s">
        <v>32</v>
      </c>
      <c r="G27" s="15">
        <v>400</v>
      </c>
      <c r="H27" s="13">
        <f t="shared" si="0"/>
        <v>28600</v>
      </c>
      <c r="I27" s="6">
        <v>85800</v>
      </c>
    </row>
    <row r="28" spans="1:9" ht="15" thickBot="1">
      <c r="A28" s="17">
        <v>44452</v>
      </c>
      <c r="B28" s="3" t="s">
        <v>28</v>
      </c>
      <c r="C28" s="3" t="s">
        <v>9</v>
      </c>
      <c r="D28" s="3" t="s">
        <v>15</v>
      </c>
      <c r="E28" s="3">
        <v>143</v>
      </c>
      <c r="F28" s="10" t="s">
        <v>16</v>
      </c>
      <c r="G28" s="15">
        <v>2500</v>
      </c>
      <c r="H28" s="13">
        <f t="shared" si="0"/>
        <v>143000</v>
      </c>
      <c r="I28" s="6">
        <v>500500</v>
      </c>
    </row>
    <row r="29" spans="1:9" ht="15" thickBot="1">
      <c r="A29" s="17">
        <v>44496</v>
      </c>
      <c r="B29" s="3" t="s">
        <v>30</v>
      </c>
      <c r="C29" s="3" t="s">
        <v>22</v>
      </c>
      <c r="D29" s="3" t="s">
        <v>31</v>
      </c>
      <c r="E29" s="3">
        <v>99</v>
      </c>
      <c r="F29" s="10" t="s">
        <v>32</v>
      </c>
      <c r="G29" s="15">
        <v>400</v>
      </c>
      <c r="H29" s="13">
        <f t="shared" si="0"/>
        <v>19800</v>
      </c>
      <c r="I29" s="6">
        <v>59400</v>
      </c>
    </row>
    <row r="30" spans="1:9" ht="15" thickBot="1">
      <c r="A30" s="17">
        <v>44187</v>
      </c>
      <c r="B30" s="3" t="s">
        <v>21</v>
      </c>
      <c r="C30" s="3" t="s">
        <v>9</v>
      </c>
      <c r="D30" s="3" t="s">
        <v>23</v>
      </c>
      <c r="E30" s="3">
        <v>120</v>
      </c>
      <c r="F30" s="10" t="s">
        <v>24</v>
      </c>
      <c r="G30" s="15">
        <v>700</v>
      </c>
      <c r="H30" s="13">
        <f t="shared" si="0"/>
        <v>36000</v>
      </c>
      <c r="I30" s="6">
        <v>120000</v>
      </c>
    </row>
    <row r="31" spans="1:9" ht="15" thickBot="1">
      <c r="A31" s="17">
        <v>44405</v>
      </c>
      <c r="B31" s="3" t="s">
        <v>13</v>
      </c>
      <c r="C31" s="3" t="s">
        <v>18</v>
      </c>
      <c r="D31" s="3" t="s">
        <v>15</v>
      </c>
      <c r="E31" s="3">
        <v>66</v>
      </c>
      <c r="F31" s="10" t="s">
        <v>16</v>
      </c>
      <c r="G31" s="15">
        <v>2500</v>
      </c>
      <c r="H31" s="13">
        <f t="shared" si="0"/>
        <v>66000</v>
      </c>
      <c r="I31" s="6">
        <v>231000</v>
      </c>
    </row>
    <row r="32" spans="1:9" ht="28.8" thickBot="1">
      <c r="A32" s="17">
        <v>44103</v>
      </c>
      <c r="B32" s="3" t="s">
        <v>30</v>
      </c>
      <c r="C32" s="3" t="s">
        <v>22</v>
      </c>
      <c r="D32" s="3" t="s">
        <v>19</v>
      </c>
      <c r="E32" s="3">
        <v>88</v>
      </c>
      <c r="F32" s="10" t="s">
        <v>20</v>
      </c>
      <c r="G32" s="15">
        <v>800</v>
      </c>
      <c r="H32" s="13">
        <f t="shared" si="0"/>
        <v>35200</v>
      </c>
      <c r="I32" s="6">
        <v>105600</v>
      </c>
    </row>
    <row r="33" spans="1:9" ht="15" thickBot="1">
      <c r="A33" s="17">
        <v>44126</v>
      </c>
      <c r="B33" s="3" t="s">
        <v>21</v>
      </c>
      <c r="C33" s="3" t="s">
        <v>14</v>
      </c>
      <c r="D33" s="3" t="s">
        <v>34</v>
      </c>
      <c r="E33" s="3">
        <v>127</v>
      </c>
      <c r="F33" s="10" t="s">
        <v>35</v>
      </c>
      <c r="G33" s="15">
        <v>7000</v>
      </c>
      <c r="H33" s="13">
        <f t="shared" si="0"/>
        <v>381000</v>
      </c>
      <c r="I33" s="6">
        <v>1270000</v>
      </c>
    </row>
    <row r="34" spans="1:9" ht="15" thickBot="1">
      <c r="A34" s="17">
        <v>43970</v>
      </c>
      <c r="B34" s="3" t="s">
        <v>25</v>
      </c>
      <c r="C34" s="3" t="s">
        <v>9</v>
      </c>
      <c r="D34" s="3" t="s">
        <v>26</v>
      </c>
      <c r="E34" s="3">
        <v>67</v>
      </c>
      <c r="F34" s="10" t="s">
        <v>12</v>
      </c>
      <c r="G34" s="15">
        <v>3000</v>
      </c>
      <c r="H34" s="13">
        <f t="shared" si="0"/>
        <v>67000</v>
      </c>
      <c r="I34" s="6">
        <v>268000</v>
      </c>
    </row>
    <row r="35" spans="1:9" ht="28.8" thickBot="1">
      <c r="A35" s="17">
        <v>44536</v>
      </c>
      <c r="B35" s="3" t="s">
        <v>13</v>
      </c>
      <c r="C35" s="3" t="s">
        <v>14</v>
      </c>
      <c r="D35" s="3" t="s">
        <v>19</v>
      </c>
      <c r="E35" s="3">
        <v>67</v>
      </c>
      <c r="F35" s="10" t="s">
        <v>20</v>
      </c>
      <c r="G35" s="15">
        <v>800</v>
      </c>
      <c r="H35" s="13">
        <f t="shared" si="0"/>
        <v>26800</v>
      </c>
      <c r="I35" s="6">
        <v>80400</v>
      </c>
    </row>
    <row r="36" spans="1:9" ht="15" thickBot="1">
      <c r="A36" s="17">
        <v>44069</v>
      </c>
      <c r="B36" s="3" t="s">
        <v>33</v>
      </c>
      <c r="C36" s="3" t="s">
        <v>18</v>
      </c>
      <c r="D36" s="3" t="s">
        <v>23</v>
      </c>
      <c r="E36" s="3">
        <v>149</v>
      </c>
      <c r="F36" s="10" t="s">
        <v>24</v>
      </c>
      <c r="G36" s="15">
        <v>700</v>
      </c>
      <c r="H36" s="13">
        <f t="shared" si="0"/>
        <v>44700</v>
      </c>
      <c r="I36" s="6">
        <v>149000</v>
      </c>
    </row>
    <row r="37" spans="1:9" ht="15" thickBot="1">
      <c r="A37" s="17">
        <v>44378</v>
      </c>
      <c r="B37" s="3" t="s">
        <v>25</v>
      </c>
      <c r="C37" s="3" t="s">
        <v>22</v>
      </c>
      <c r="D37" s="3" t="s">
        <v>31</v>
      </c>
      <c r="E37" s="3">
        <v>104</v>
      </c>
      <c r="F37" s="10" t="s">
        <v>32</v>
      </c>
      <c r="G37" s="15">
        <v>400</v>
      </c>
      <c r="H37" s="13">
        <f t="shared" si="0"/>
        <v>20800</v>
      </c>
      <c r="I37" s="6">
        <v>62400</v>
      </c>
    </row>
    <row r="38" spans="1:9" ht="15" thickBot="1">
      <c r="A38" s="17">
        <v>44404</v>
      </c>
      <c r="B38" s="3" t="s">
        <v>29</v>
      </c>
      <c r="C38" s="3" t="s">
        <v>9</v>
      </c>
      <c r="D38" s="3" t="s">
        <v>31</v>
      </c>
      <c r="E38" s="3">
        <v>57</v>
      </c>
      <c r="F38" s="10" t="s">
        <v>32</v>
      </c>
      <c r="G38" s="15">
        <v>400</v>
      </c>
      <c r="H38" s="13">
        <f t="shared" si="0"/>
        <v>11400</v>
      </c>
      <c r="I38" s="6">
        <v>34200</v>
      </c>
    </row>
    <row r="39" spans="1:9" ht="15" thickBot="1">
      <c r="A39" s="17">
        <v>44109</v>
      </c>
      <c r="B39" s="3" t="s">
        <v>17</v>
      </c>
      <c r="C39" s="3" t="s">
        <v>14</v>
      </c>
      <c r="D39" s="3" t="s">
        <v>31</v>
      </c>
      <c r="E39" s="3">
        <v>90</v>
      </c>
      <c r="F39" s="10" t="s">
        <v>32</v>
      </c>
      <c r="G39" s="15">
        <v>400</v>
      </c>
      <c r="H39" s="13">
        <f t="shared" si="0"/>
        <v>18000</v>
      </c>
      <c r="I39" s="6">
        <v>54000</v>
      </c>
    </row>
    <row r="40" spans="1:9" ht="15" thickBot="1">
      <c r="A40" s="17">
        <v>44076</v>
      </c>
      <c r="B40" s="3" t="s">
        <v>27</v>
      </c>
      <c r="C40" s="3" t="s">
        <v>18</v>
      </c>
      <c r="D40" s="3" t="s">
        <v>31</v>
      </c>
      <c r="E40" s="3">
        <v>67</v>
      </c>
      <c r="F40" s="10" t="s">
        <v>32</v>
      </c>
      <c r="G40" s="15">
        <v>400</v>
      </c>
      <c r="H40" s="13">
        <f t="shared" si="0"/>
        <v>13400</v>
      </c>
      <c r="I40" s="6">
        <v>40200</v>
      </c>
    </row>
    <row r="41" spans="1:9" ht="15" thickBot="1">
      <c r="A41" s="17">
        <v>44441</v>
      </c>
      <c r="B41" s="3" t="s">
        <v>8</v>
      </c>
      <c r="C41" s="3" t="s">
        <v>22</v>
      </c>
      <c r="D41" s="3" t="s">
        <v>26</v>
      </c>
      <c r="E41" s="3">
        <v>127</v>
      </c>
      <c r="F41" s="10" t="s">
        <v>12</v>
      </c>
      <c r="G41" s="15">
        <v>3000</v>
      </c>
      <c r="H41" s="13">
        <f t="shared" si="0"/>
        <v>127000</v>
      </c>
      <c r="I41" s="6">
        <v>508000</v>
      </c>
    </row>
    <row r="42" spans="1:9" ht="15" thickBot="1">
      <c r="A42" s="17">
        <v>44299</v>
      </c>
      <c r="B42" s="3" t="s">
        <v>27</v>
      </c>
      <c r="C42" s="3" t="s">
        <v>9</v>
      </c>
      <c r="D42" s="3" t="s">
        <v>23</v>
      </c>
      <c r="E42" s="3">
        <v>108</v>
      </c>
      <c r="F42" s="10" t="s">
        <v>24</v>
      </c>
      <c r="G42" s="15">
        <v>700</v>
      </c>
      <c r="H42" s="13">
        <f t="shared" si="0"/>
        <v>32400</v>
      </c>
      <c r="I42" s="6">
        <v>108000</v>
      </c>
    </row>
    <row r="43" spans="1:9" ht="15" thickBot="1">
      <c r="A43" s="17">
        <v>44322</v>
      </c>
      <c r="B43" s="3" t="s">
        <v>17</v>
      </c>
      <c r="C43" s="3" t="s">
        <v>14</v>
      </c>
      <c r="D43" s="3" t="s">
        <v>15</v>
      </c>
      <c r="E43" s="3">
        <v>66</v>
      </c>
      <c r="F43" s="10" t="s">
        <v>16</v>
      </c>
      <c r="G43" s="15">
        <v>2500</v>
      </c>
      <c r="H43" s="13">
        <f t="shared" si="0"/>
        <v>66000</v>
      </c>
      <c r="I43" s="6">
        <v>231000</v>
      </c>
    </row>
    <row r="44" spans="1:9" ht="15" thickBot="1">
      <c r="A44" s="17">
        <v>44211</v>
      </c>
      <c r="B44" s="3" t="s">
        <v>8</v>
      </c>
      <c r="C44" s="3" t="s">
        <v>22</v>
      </c>
      <c r="D44" s="3" t="s">
        <v>10</v>
      </c>
      <c r="E44" s="3">
        <v>78</v>
      </c>
      <c r="F44" s="10" t="s">
        <v>11</v>
      </c>
      <c r="G44" s="15">
        <v>4000</v>
      </c>
      <c r="H44" s="13">
        <f t="shared" si="0"/>
        <v>156000</v>
      </c>
      <c r="I44" s="6">
        <v>468000</v>
      </c>
    </row>
    <row r="45" spans="1:9" ht="15" thickBot="1">
      <c r="A45" s="17">
        <v>44070</v>
      </c>
      <c r="B45" s="3" t="s">
        <v>29</v>
      </c>
      <c r="C45" s="3" t="s">
        <v>18</v>
      </c>
      <c r="D45" s="3" t="s">
        <v>23</v>
      </c>
      <c r="E45" s="3">
        <v>69</v>
      </c>
      <c r="F45" s="10" t="s">
        <v>24</v>
      </c>
      <c r="G45" s="15">
        <v>700</v>
      </c>
      <c r="H45" s="13">
        <f t="shared" si="0"/>
        <v>20700</v>
      </c>
      <c r="I45" s="6">
        <v>69000</v>
      </c>
    </row>
    <row r="46" spans="1:9" ht="28.8" thickBot="1">
      <c r="A46" s="17">
        <v>44232</v>
      </c>
      <c r="B46" s="3" t="s">
        <v>25</v>
      </c>
      <c r="C46" s="3" t="s">
        <v>9</v>
      </c>
      <c r="D46" s="3" t="s">
        <v>19</v>
      </c>
      <c r="E46" s="3">
        <v>59</v>
      </c>
      <c r="F46" s="10" t="s">
        <v>20</v>
      </c>
      <c r="G46" s="15">
        <v>800</v>
      </c>
      <c r="H46" s="13">
        <f t="shared" si="0"/>
        <v>23600</v>
      </c>
      <c r="I46" s="6">
        <v>70800</v>
      </c>
    </row>
    <row r="47" spans="1:9" ht="15" thickBot="1">
      <c r="A47" s="17">
        <v>44517</v>
      </c>
      <c r="B47" s="3" t="s">
        <v>33</v>
      </c>
      <c r="C47" s="3" t="s">
        <v>18</v>
      </c>
      <c r="D47" s="3" t="s">
        <v>31</v>
      </c>
      <c r="E47" s="3">
        <v>109</v>
      </c>
      <c r="F47" s="10" t="s">
        <v>32</v>
      </c>
      <c r="G47" s="15">
        <v>400</v>
      </c>
      <c r="H47" s="13">
        <f t="shared" si="0"/>
        <v>21800</v>
      </c>
      <c r="I47" s="6">
        <v>65400</v>
      </c>
    </row>
    <row r="48" spans="1:9" ht="15" thickBot="1">
      <c r="A48" s="17">
        <v>44193</v>
      </c>
      <c r="B48" s="3" t="s">
        <v>30</v>
      </c>
      <c r="C48" s="3" t="s">
        <v>14</v>
      </c>
      <c r="D48" s="3" t="s">
        <v>26</v>
      </c>
      <c r="E48" s="3">
        <v>61</v>
      </c>
      <c r="F48" s="10" t="s">
        <v>12</v>
      </c>
      <c r="G48" s="15">
        <v>3000</v>
      </c>
      <c r="H48" s="13">
        <f t="shared" si="0"/>
        <v>61000</v>
      </c>
      <c r="I48" s="6">
        <v>244000</v>
      </c>
    </row>
    <row r="49" spans="1:9" ht="15" thickBot="1">
      <c r="A49" s="17">
        <v>44496</v>
      </c>
      <c r="B49" s="3" t="s">
        <v>25</v>
      </c>
      <c r="C49" s="3" t="s">
        <v>22</v>
      </c>
      <c r="D49" s="3" t="s">
        <v>31</v>
      </c>
      <c r="E49" s="3">
        <v>130</v>
      </c>
      <c r="F49" s="10" t="s">
        <v>32</v>
      </c>
      <c r="G49" s="15">
        <v>400</v>
      </c>
      <c r="H49" s="13">
        <f t="shared" si="0"/>
        <v>26000</v>
      </c>
      <c r="I49" s="6">
        <v>78000</v>
      </c>
    </row>
    <row r="50" spans="1:9" ht="15" thickBot="1">
      <c r="A50" s="17">
        <v>44502</v>
      </c>
      <c r="B50" s="3" t="s">
        <v>21</v>
      </c>
      <c r="C50" s="3" t="s">
        <v>18</v>
      </c>
      <c r="D50" s="3" t="s">
        <v>15</v>
      </c>
      <c r="E50" s="3">
        <v>60</v>
      </c>
      <c r="F50" s="10" t="s">
        <v>16</v>
      </c>
      <c r="G50" s="15">
        <v>2500</v>
      </c>
      <c r="H50" s="13">
        <f t="shared" si="0"/>
        <v>60000</v>
      </c>
      <c r="I50" s="6">
        <v>210000</v>
      </c>
    </row>
    <row r="51" spans="1:9" ht="15" thickBot="1">
      <c r="A51" s="17">
        <v>43958</v>
      </c>
      <c r="B51" s="3" t="s">
        <v>13</v>
      </c>
      <c r="C51" s="3" t="s">
        <v>14</v>
      </c>
      <c r="D51" s="3" t="s">
        <v>10</v>
      </c>
      <c r="E51" s="3">
        <v>73</v>
      </c>
      <c r="F51" s="10" t="s">
        <v>11</v>
      </c>
      <c r="G51" s="15">
        <v>4000</v>
      </c>
      <c r="H51" s="13">
        <f t="shared" si="0"/>
        <v>146000</v>
      </c>
      <c r="I51" s="6">
        <v>438000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2025-11-12T12:00:35Z</dcterms:created>
  <dcterms:modified xsi:type="dcterms:W3CDTF">2025-11-12T13:19:51Z</dcterms:modified>
</cp:coreProperties>
</file>